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 Plan" sheetId="1" state="visible" r:id="rId1"/>
    <sheet name="Flight Plan" sheetId="2" state="visible" r:id="rId2"/>
    <sheet name="Creatives" sheetId="3" state="visible" r:id="rId3"/>
    <sheet name="Brand Metrics" sheetId="4" state="visible" r:id="rId4"/>
    <sheet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Компания</t>
        </is>
      </c>
      <c r="B1" t="inlineStr"/>
    </row>
    <row r="2">
      <c r="A2" t="inlineStr">
        <is>
          <t>Период (дни)</t>
        </is>
      </c>
      <c r="B2" t="inlineStr">
        <is>
          <t>30</t>
        </is>
      </c>
    </row>
    <row r="3">
      <c r="A3" t="inlineStr">
        <is>
          <t>Данные аудитории</t>
        </is>
      </c>
      <c r="B3" t="inlineStr">
        <is>
          <t>KZ; 18-55; broad</t>
        </is>
      </c>
    </row>
    <row r="4">
      <c r="A4" t="inlineStr">
        <is>
          <t>Объем аудитории</t>
        </is>
      </c>
      <c r="B4" t="inlineStr">
        <is>
          <t>4 625 000</t>
        </is>
      </c>
    </row>
    <row r="5">
      <c r="A5" t="inlineStr">
        <is>
          <t>Составил</t>
        </is>
      </c>
      <c r="B5" t="inlineStr"/>
    </row>
    <row r="6">
      <c r="A6" t="inlineStr">
        <is>
          <t>Курс USD</t>
        </is>
      </c>
      <c r="B6" t="inlineStr"/>
    </row>
    <row r="7">
      <c r="A7" t="inlineStr">
        <is>
          <t>UTM</t>
        </is>
      </c>
      <c r="B7" t="inlineStr"/>
    </row>
    <row r="8">
      <c r="A8" t="inlineStr">
        <is>
          <t>Пиксели настроены</t>
        </is>
      </c>
      <c r="B8" t="inlineStr">
        <is>
          <t>Нет</t>
        </is>
      </c>
    </row>
    <row r="9">
      <c r="A9" t="inlineStr">
        <is>
          <t>Комиссия агентства, %</t>
        </is>
      </c>
      <c r="B9" t="inlineStr"/>
    </row>
    <row r="10">
      <c r="A10" t="inlineStr">
        <is>
          <t>НДС, %</t>
        </is>
      </c>
      <c r="B10" t="inlineStr"/>
    </row>
    <row r="12">
      <c r="A12" t="inlineStr">
        <is>
          <t>Платформа</t>
        </is>
      </c>
      <c r="B12" t="inlineStr">
        <is>
          <t>Доля, %</t>
        </is>
      </c>
      <c r="C12" t="inlineStr">
        <is>
          <t>Бюджет план, $</t>
        </is>
      </c>
      <c r="D12" t="inlineStr">
        <is>
          <t>Бюджет факт, $</t>
        </is>
      </c>
      <c r="E12" t="inlineStr">
        <is>
          <t>Охват план</t>
        </is>
      </c>
      <c r="F12" t="inlineStr">
        <is>
          <t>Охват факт</t>
        </is>
      </c>
      <c r="G12" t="inlineStr">
        <is>
          <t>Показы план</t>
        </is>
      </c>
      <c r="H12" t="inlineStr">
        <is>
          <t>Показы факт</t>
        </is>
      </c>
      <c r="I12" t="inlineStr">
        <is>
          <t>Клики план</t>
        </is>
      </c>
      <c r="J12" t="inlineStr">
        <is>
          <t>Клики факт</t>
        </is>
      </c>
      <c r="K12" t="inlineStr">
        <is>
          <t>Лиды план</t>
        </is>
      </c>
      <c r="L12" t="inlineStr">
        <is>
          <t>Лиды факт</t>
        </is>
      </c>
      <c r="M12" t="inlineStr">
        <is>
          <t>Конверсии план</t>
        </is>
      </c>
      <c r="N12" t="inlineStr">
        <is>
          <t>Конверсии факт</t>
        </is>
      </c>
      <c r="O12" t="inlineStr">
        <is>
          <t>Просмотры план</t>
        </is>
      </c>
      <c r="P12" t="inlineStr">
        <is>
          <t>Просмотры факт</t>
        </is>
      </c>
      <c r="Q12" t="inlineStr">
        <is>
          <t>Viewable план</t>
        </is>
      </c>
      <c r="R12" t="inlineStr">
        <is>
          <t>Viewable факт</t>
        </is>
      </c>
      <c r="S12" t="inlineStr">
        <is>
          <t>CPM план, $</t>
        </is>
      </c>
      <c r="T12" t="inlineStr">
        <is>
          <t>CPM факт, $</t>
        </is>
      </c>
      <c r="U12" t="inlineStr">
        <is>
          <t>CPC план, $</t>
        </is>
      </c>
      <c r="V12" t="inlineStr">
        <is>
          <t>CPC факт, $</t>
        </is>
      </c>
      <c r="W12" t="inlineStr">
        <is>
          <t>CPV план, $</t>
        </is>
      </c>
      <c r="X12" t="inlineStr">
        <is>
          <t>CPV факт, $</t>
        </is>
      </c>
      <c r="Y12" t="inlineStr">
        <is>
          <t>CTR план</t>
        </is>
      </c>
      <c r="Z12" t="inlineStr">
        <is>
          <t>CTR факт</t>
        </is>
      </c>
      <c r="AA12" t="inlineStr">
        <is>
          <t>CVR план</t>
        </is>
      </c>
      <c r="AB12" t="inlineStr">
        <is>
          <t>CVR факт</t>
        </is>
      </c>
      <c r="AC12" t="inlineStr">
        <is>
          <t>Post-click план</t>
        </is>
      </c>
      <c r="AD12" t="inlineStr">
        <is>
          <t>Post-click факт</t>
        </is>
      </c>
      <c r="AE12" t="inlineStr">
        <is>
          <t>VTR план</t>
        </is>
      </c>
      <c r="AF12" t="inlineStr">
        <is>
          <t>VTR факт</t>
        </is>
      </c>
      <c r="AG12" t="inlineStr">
        <is>
          <t>LTV план</t>
        </is>
      </c>
      <c r="AH12" t="inlineStr">
        <is>
          <t>LTV факт</t>
        </is>
      </c>
      <c r="AI12" t="inlineStr">
        <is>
          <t>Дней открутки</t>
        </is>
      </c>
    </row>
    <row r="13">
      <c r="A13" t="inlineStr">
        <is>
          <t>Meta (FB/IG)</t>
        </is>
      </c>
      <c r="B13" t="n">
        <v>12.7</v>
      </c>
      <c r="C13" t="n">
        <v>254</v>
      </c>
      <c r="E13">
        <f>IF(G13&gt;0,G13/1.6,0)</f>
        <v/>
      </c>
      <c r="G13">
        <f>IF(S13&gt;0,C13/S13*1000,IF(AND(U13&gt;0,Y13&gt;0),C13/U13/MAX(Y13,0.0001),0))</f>
        <v/>
      </c>
      <c r="I13">
        <f>IF(U13&gt;0,C13/U13,G13*Y13)</f>
        <v/>
      </c>
      <c r="K13">
        <f>I13*AA13</f>
        <v/>
      </c>
      <c r="M13">
        <f>K13*AC13</f>
        <v/>
      </c>
      <c r="O13">
        <f>IF(W13&gt;0,C13/W13,0)</f>
        <v/>
      </c>
      <c r="Q13">
        <f>O13*0</f>
        <v/>
      </c>
      <c r="S13" t="n">
        <v>2.1</v>
      </c>
      <c r="U13" t="n">
        <v>0.35</v>
      </c>
      <c r="W13" t="n">
        <v>0.02</v>
      </c>
      <c r="Y13" t="n">
        <v>0.013</v>
      </c>
      <c r="AA13" t="n">
        <v>0.016</v>
      </c>
      <c r="AC13" t="n">
        <v>0.42</v>
      </c>
      <c r="AE13">
        <f>IF(G13&gt;0,O13/G13,0)</f>
        <v/>
      </c>
      <c r="AG13">
        <f>M13*100</f>
        <v/>
      </c>
    </row>
    <row r="14">
      <c r="A14" t="inlineStr">
        <is>
          <t>Google Display · CPM</t>
        </is>
      </c>
      <c r="B14" t="n">
        <v>9.5</v>
      </c>
      <c r="C14" t="n">
        <v>190</v>
      </c>
      <c r="E14">
        <f>IF(G14&gt;0,G14/1.6,0)</f>
        <v/>
      </c>
      <c r="G14">
        <f>IF(S14&gt;0,C14/S14*1000,IF(AND(U14&gt;0,Y14&gt;0),C14/U14/MAX(Y14,0.0001),0))</f>
        <v/>
      </c>
      <c r="I14">
        <f>IF(U14&gt;0,C14/U14,G14*Y14)</f>
        <v/>
      </c>
      <c r="K14">
        <f>I14*AA14</f>
        <v/>
      </c>
      <c r="M14">
        <f>K14*AC14</f>
        <v/>
      </c>
      <c r="O14">
        <f>IF(W14&gt;0,C14/W14,0)</f>
        <v/>
      </c>
      <c r="Q14">
        <f>O14*0</f>
        <v/>
      </c>
      <c r="S14" t="n">
        <v>2.8</v>
      </c>
      <c r="U14" t="n">
        <v>0.45</v>
      </c>
      <c r="W14" t="n">
        <v>0.03</v>
      </c>
      <c r="Y14" t="n">
        <v>0.008</v>
      </c>
      <c r="AA14" t="n">
        <v>0.012</v>
      </c>
      <c r="AC14" t="n">
        <v>0.32</v>
      </c>
      <c r="AE14">
        <f>IF(G14&gt;0,O14/G14,0)</f>
        <v/>
      </c>
      <c r="AG14">
        <f>M14*100</f>
        <v/>
      </c>
    </row>
    <row r="15">
      <c r="A15" t="inlineStr">
        <is>
          <t>Google Display · CPC</t>
        </is>
      </c>
      <c r="B15" t="n">
        <v>11.1</v>
      </c>
      <c r="C15" t="n">
        <v>222</v>
      </c>
      <c r="E15">
        <f>IF(G15&gt;0,G15/1.6,0)</f>
        <v/>
      </c>
      <c r="G15">
        <f>IF(S15&gt;0,C15/S15*1000,IF(AND(U15&gt;0,Y15&gt;0),C15/U15/MAX(Y15,0.0001),0))</f>
        <v/>
      </c>
      <c r="I15">
        <f>IF(U15&gt;0,C15/U15,G15*Y15)</f>
        <v/>
      </c>
      <c r="K15">
        <f>I15*AA15</f>
        <v/>
      </c>
      <c r="M15">
        <f>K15*AC15</f>
        <v/>
      </c>
      <c r="O15">
        <f>IF(W15&gt;0,C15/W15,0)</f>
        <v/>
      </c>
      <c r="Q15">
        <f>O15*0</f>
        <v/>
      </c>
      <c r="S15" t="n">
        <v>3.1</v>
      </c>
      <c r="U15" t="n">
        <v>0.28</v>
      </c>
      <c r="W15" t="n">
        <v>0.03</v>
      </c>
      <c r="Y15" t="n">
        <v>0.015</v>
      </c>
      <c r="AA15" t="n">
        <v>0.014</v>
      </c>
      <c r="AC15" t="n">
        <v>0.34</v>
      </c>
      <c r="AE15">
        <f>IF(G15&gt;0,O15/G15,0)</f>
        <v/>
      </c>
      <c r="AG15">
        <f>M15*100</f>
        <v/>
      </c>
    </row>
    <row r="16">
      <c r="A16" t="inlineStr">
        <is>
          <t>Google Search · Контекст</t>
        </is>
      </c>
      <c r="B16" t="n">
        <v>22.2</v>
      </c>
      <c r="C16" t="n">
        <v>444</v>
      </c>
      <c r="E16">
        <f>IF(G16&gt;0,G16/1.6,0)</f>
        <v/>
      </c>
      <c r="G16">
        <f>IF(S16&gt;0,C16/S16*1000,IF(AND(U16&gt;0,Y16&gt;0),C16/U16/MAX(Y16,0.0001),0))</f>
        <v/>
      </c>
      <c r="I16">
        <f>IF(U16&gt;0,C16/U16,G16*Y16)</f>
        <v/>
      </c>
      <c r="K16">
        <f>I16*AA16</f>
        <v/>
      </c>
      <c r="M16">
        <f>K16*AC16</f>
        <v/>
      </c>
      <c r="O16">
        <f>IF(W16&gt;0,C16/W16,0)</f>
        <v/>
      </c>
      <c r="Q16">
        <f>O16*0</f>
        <v/>
      </c>
      <c r="S16" t="n">
        <v>4.2</v>
      </c>
      <c r="U16" t="n">
        <v>0.55</v>
      </c>
      <c r="W16" t="n">
        <v>0.04</v>
      </c>
      <c r="Y16" t="n">
        <v>0.025</v>
      </c>
      <c r="AA16" t="n">
        <v>0.028</v>
      </c>
      <c r="AC16" t="n">
        <v>0.5</v>
      </c>
      <c r="AE16">
        <f>IF(G16&gt;0,O16/G16,0)</f>
        <v/>
      </c>
      <c r="AG16">
        <f>M16*100</f>
        <v/>
      </c>
    </row>
    <row r="17">
      <c r="A17" t="inlineStr">
        <is>
          <t>Google Shopping</t>
        </is>
      </c>
      <c r="B17" t="n">
        <v>25.4</v>
      </c>
      <c r="C17" t="n">
        <v>508</v>
      </c>
      <c r="E17">
        <f>IF(G17&gt;0,G17/1.6,0)</f>
        <v/>
      </c>
      <c r="G17">
        <f>IF(S17&gt;0,C17/S17*1000,IF(AND(U17&gt;0,Y17&gt;0),C17/U17/MAX(Y17,0.0001),0))</f>
        <v/>
      </c>
      <c r="I17">
        <f>IF(U17&gt;0,C17/U17,G17*Y17)</f>
        <v/>
      </c>
      <c r="K17">
        <f>I17*AA17</f>
        <v/>
      </c>
      <c r="M17">
        <f>K17*AC17</f>
        <v/>
      </c>
      <c r="O17">
        <f>IF(W17&gt;0,C17/W17,0)</f>
        <v/>
      </c>
      <c r="Q17">
        <f>O17*0</f>
        <v/>
      </c>
      <c r="S17" t="n">
        <v>3.6</v>
      </c>
      <c r="U17" t="n">
        <v>0.42</v>
      </c>
      <c r="W17" t="n">
        <v>0.04</v>
      </c>
      <c r="Y17" t="n">
        <v>0.022</v>
      </c>
      <c r="AA17" t="n">
        <v>0.032</v>
      </c>
      <c r="AC17" t="n">
        <v>0.44</v>
      </c>
      <c r="AE17">
        <f>IF(G17&gt;0,O17/G17,0)</f>
        <v/>
      </c>
      <c r="AG17">
        <f>M17*100</f>
        <v/>
      </c>
    </row>
    <row r="18">
      <c r="A18" t="inlineStr">
        <is>
          <t>YouTube (Generic)</t>
        </is>
      </c>
      <c r="B18" t="n">
        <v>8.699999999999999</v>
      </c>
      <c r="C18" t="n">
        <v>175</v>
      </c>
      <c r="E18">
        <f>IF(G18&gt;0,G18/1.6,0)</f>
        <v/>
      </c>
      <c r="G18">
        <f>IF(S18&gt;0,C18/S18*1000,IF(AND(U18&gt;0,Y18&gt;0),C18/U18/MAX(Y18,0.0001),0))</f>
        <v/>
      </c>
      <c r="I18">
        <f>IF(U18&gt;0,C18/U18,G18*Y18)</f>
        <v/>
      </c>
      <c r="K18">
        <f>I18*AA18</f>
        <v/>
      </c>
      <c r="M18">
        <f>K18*AC18</f>
        <v/>
      </c>
      <c r="O18">
        <f>IF(W18&gt;0,C18/W18,0)</f>
        <v/>
      </c>
      <c r="Q18">
        <f>O18*0.7</f>
        <v/>
      </c>
      <c r="S18" t="n">
        <v>2.4</v>
      </c>
      <c r="U18" t="n">
        <v>0.48</v>
      </c>
      <c r="W18" t="n">
        <v>0.015</v>
      </c>
      <c r="Y18" t="n">
        <v>0.008999999999999999</v>
      </c>
      <c r="AA18" t="n">
        <v>0.011</v>
      </c>
      <c r="AC18" t="n">
        <v>0.35</v>
      </c>
      <c r="AE18">
        <f>IF(G18&gt;0,O18/G18,0)</f>
        <v/>
      </c>
      <c r="AG18">
        <f>M18*100</f>
        <v/>
      </c>
    </row>
    <row r="19">
      <c r="A19" t="inlineStr">
        <is>
          <t>TikTok</t>
        </is>
      </c>
      <c r="B19" t="n">
        <v>10.3</v>
      </c>
      <c r="C19" t="n">
        <v>206</v>
      </c>
      <c r="E19">
        <f>IF(G19&gt;0,G19/1.6,0)</f>
        <v/>
      </c>
      <c r="G19">
        <f>IF(S19&gt;0,C19/S19*1000,IF(AND(U19&gt;0,Y19&gt;0),C19/U19/MAX(Y19,0.0001),0))</f>
        <v/>
      </c>
      <c r="I19">
        <f>IF(U19&gt;0,C19/U19,G19*Y19)</f>
        <v/>
      </c>
      <c r="K19">
        <f>I19*AA19</f>
        <v/>
      </c>
      <c r="M19">
        <f>K19*AC19</f>
        <v/>
      </c>
      <c r="O19">
        <f>IF(W19&gt;0,C19/W19,0)</f>
        <v/>
      </c>
      <c r="Q19">
        <f>O19*0.7</f>
        <v/>
      </c>
      <c r="S19" t="n">
        <v>1.9</v>
      </c>
      <c r="U19" t="n">
        <v>0.3</v>
      </c>
      <c r="W19" t="n">
        <v>0.01</v>
      </c>
      <c r="Y19" t="n">
        <v>0.017</v>
      </c>
      <c r="AA19" t="n">
        <v>0.013</v>
      </c>
      <c r="AC19" t="n">
        <v>0.33</v>
      </c>
      <c r="AE19">
        <f>IF(G19&gt;0,O19/G19,0)</f>
        <v/>
      </c>
      <c r="AG19">
        <f>M19*100</f>
        <v/>
      </c>
    </row>
    <row r="21">
      <c r="A21" t="inlineStr">
        <is>
          <t>Итого</t>
        </is>
      </c>
      <c r="B21" t="inlineStr"/>
      <c r="C21">
        <f>SUM(C13:C19)</f>
        <v/>
      </c>
      <c r="D21">
        <f>SUM(D13:D19)</f>
        <v/>
      </c>
      <c r="E21">
        <f>SUM(E13:E19)</f>
        <v/>
      </c>
      <c r="F21">
        <f>SUM(F13:F19)</f>
        <v/>
      </c>
      <c r="G21">
        <f>SUM(G13:G19)</f>
        <v/>
      </c>
      <c r="H21">
        <f>SUM(H13:H19)</f>
        <v/>
      </c>
      <c r="I21">
        <f>SUM(I13:I19)</f>
        <v/>
      </c>
      <c r="J21">
        <f>SUM(J13:J19)</f>
        <v/>
      </c>
      <c r="K21">
        <f>SUM(K13:K19)</f>
        <v/>
      </c>
      <c r="L21">
        <f>SUM(L13:L19)</f>
        <v/>
      </c>
      <c r="M21">
        <f>SUM(M13:M19)</f>
        <v/>
      </c>
      <c r="N21">
        <f>SUM(N13:N19)</f>
        <v/>
      </c>
      <c r="O21">
        <f>SUM(O13:O19)</f>
        <v/>
      </c>
      <c r="P21">
        <f>SUM(P13:P19)</f>
        <v/>
      </c>
      <c r="Q21">
        <f>SUM(Q13:Q19)</f>
        <v/>
      </c>
      <c r="R21">
        <f>SUM(R13:R19)</f>
        <v/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Days</t>
        </is>
      </c>
      <c r="C1" t="inlineStr">
        <is>
          <t>Budget, $</t>
        </is>
      </c>
      <c r="D1" t="inlineStr">
        <is>
          <t>Budget/Day, $</t>
        </is>
      </c>
    </row>
    <row r="2">
      <c r="A2" t="n">
        <v>1</v>
      </c>
      <c r="B2" t="n">
        <v>7</v>
      </c>
      <c r="C2" t="n">
        <v>466.67</v>
      </c>
      <c r="D2" t="n">
        <v>66.67</v>
      </c>
    </row>
    <row r="3">
      <c r="A3" t="n">
        <v>2</v>
      </c>
      <c r="B3" t="n">
        <v>7</v>
      </c>
      <c r="C3" t="n">
        <v>466.67</v>
      </c>
      <c r="D3" t="n">
        <v>66.67</v>
      </c>
    </row>
    <row r="4">
      <c r="A4" t="n">
        <v>3</v>
      </c>
      <c r="B4" t="n">
        <v>7</v>
      </c>
      <c r="C4" t="n">
        <v>466.67</v>
      </c>
      <c r="D4" t="n">
        <v>66.67</v>
      </c>
    </row>
    <row r="5">
      <c r="A5" t="n">
        <v>4</v>
      </c>
      <c r="B5" t="n">
        <v>7</v>
      </c>
      <c r="C5" t="n">
        <v>466.67</v>
      </c>
      <c r="D5" t="n">
        <v>66.67</v>
      </c>
    </row>
    <row r="6">
      <c r="A6" t="n">
        <v>5</v>
      </c>
      <c r="B6" t="n">
        <v>2</v>
      </c>
      <c r="C6" t="n">
        <v>133.33</v>
      </c>
      <c r="D6" t="n">
        <v>66.67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Формат</t>
        </is>
      </c>
      <c r="B1" t="inlineStr">
        <is>
          <t>Рекоменд. кол-во</t>
        </is>
      </c>
      <c r="C1" t="inlineStr">
        <is>
          <t>Комментарий</t>
        </is>
      </c>
    </row>
    <row r="2">
      <c r="A2" t="inlineStr">
        <is>
          <t>Meta Feed/Reels</t>
        </is>
      </c>
      <c r="B2" t="n">
        <v>5</v>
      </c>
      <c r="C2" t="inlineStr">
        <is>
          <t>Статичные + 2 UGC</t>
        </is>
      </c>
    </row>
    <row r="3">
      <c r="A3" t="inlineStr">
        <is>
          <t>Google Display</t>
        </is>
      </c>
      <c r="B3" t="n">
        <v>6</v>
      </c>
      <c r="C3" t="inlineStr">
        <is>
          <t>3 баннера, 3 адаптивных</t>
        </is>
      </c>
    </row>
    <row r="4">
      <c r="A4" t="inlineStr">
        <is>
          <t>Google Search</t>
        </is>
      </c>
      <c r="B4" t="n">
        <v>20</v>
      </c>
      <c r="C4" t="inlineStr">
        <is>
          <t>Группы/RSAs + 5-6 ключей/группа</t>
        </is>
      </c>
    </row>
    <row r="5">
      <c r="A5" t="inlineStr">
        <is>
          <t>YouTube 6s</t>
        </is>
      </c>
      <c r="B5" t="n">
        <v>3</v>
      </c>
      <c r="C5" t="inlineStr">
        <is>
          <t>Bumpers, брендовый охват</t>
        </is>
      </c>
    </row>
    <row r="6">
      <c r="A6" t="inlineStr">
        <is>
          <t>YouTube 15s</t>
        </is>
      </c>
      <c r="B6" t="n">
        <v>3</v>
      </c>
      <c r="C6" t="inlineStr">
        <is>
          <t>Skippable mid-length</t>
        </is>
      </c>
    </row>
    <row r="7">
      <c r="A7" t="inlineStr">
        <is>
          <t>YouTube 30s</t>
        </is>
      </c>
      <c r="B7" t="n">
        <v>2</v>
      </c>
      <c r="C7" t="inlineStr">
        <is>
          <t>Storytelling / ретаргет</t>
        </is>
      </c>
    </row>
    <row r="8">
      <c r="A8" t="inlineStr">
        <is>
          <t>TikTok</t>
        </is>
      </c>
      <c r="B8" t="n">
        <v>5</v>
      </c>
      <c r="C8" t="inlineStr">
        <is>
          <t>UGC + Spark Ads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Платформа</t>
        </is>
      </c>
      <c r="B1" t="inlineStr">
        <is>
          <t>Impr</t>
        </is>
      </c>
      <c r="C1" t="inlineStr">
        <is>
          <t>Views</t>
        </is>
      </c>
      <c r="D1" t="inlineStr">
        <is>
          <t>VCR25</t>
        </is>
      </c>
      <c r="E1" t="inlineStr">
        <is>
          <t>VCR50</t>
        </is>
      </c>
      <c r="F1" t="inlineStr">
        <is>
          <t>VCR75</t>
        </is>
      </c>
      <c r="G1" t="inlineStr">
        <is>
          <t>VCR100</t>
        </is>
      </c>
    </row>
    <row r="2">
      <c r="A2" t="inlineStr">
        <is>
          <t>YouTube (Generic)</t>
        </is>
      </c>
      <c r="B2" t="n">
        <v>72751</v>
      </c>
      <c r="D2" t="n">
        <v>0.8</v>
      </c>
      <c r="E2" t="n">
        <v>0.6</v>
      </c>
      <c r="F2" t="n">
        <v>0.4</v>
      </c>
      <c r="G2" t="n">
        <v>0.25</v>
      </c>
    </row>
    <row r="3">
      <c r="A3" t="inlineStr">
        <is>
          <t>TikTok</t>
        </is>
      </c>
      <c r="B3" t="n">
        <v>108605</v>
      </c>
      <c r="D3" t="n">
        <v>0.8</v>
      </c>
      <c r="E3" t="n">
        <v>0.6</v>
      </c>
      <c r="F3" t="n">
        <v>0.4</v>
      </c>
      <c r="G3" t="n">
        <v>0.25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Сценарий</t>
        </is>
      </c>
      <c r="B1" t="inlineStr">
        <is>
          <t>Бюджет, $</t>
        </is>
      </c>
      <c r="C1" t="inlineStr">
        <is>
          <t>CPL</t>
        </is>
      </c>
      <c r="D1" t="inlineStr">
        <is>
          <t>CPA</t>
        </is>
      </c>
      <c r="E1" t="inlineStr">
        <is>
          <t>CPM</t>
        </is>
      </c>
      <c r="F1" t="inlineStr">
        <is>
          <t>CPC</t>
        </is>
      </c>
      <c r="G1" t="inlineStr">
        <is>
          <t>VTR</t>
        </is>
      </c>
      <c r="H1" t="inlineStr">
        <is>
          <t>Reach</t>
        </is>
      </c>
      <c r="I1" t="inlineStr">
        <is>
          <t>Clicks</t>
        </is>
      </c>
      <c r="J1" t="inlineStr">
        <is>
          <t>Leads</t>
        </is>
      </c>
      <c r="K1" t="inlineStr">
        <is>
          <t>Conv</t>
        </is>
      </c>
    </row>
    <row r="2">
      <c r="A2" t="inlineStr">
        <is>
          <t>base</t>
        </is>
      </c>
      <c r="B2" t="n">
        <v>2000</v>
      </c>
      <c r="C2" t="n">
        <v>14.78</v>
      </c>
      <c r="D2" t="n">
        <v>36.22</v>
      </c>
      <c r="E2" t="n">
        <v>3.92</v>
      </c>
      <c r="F2" t="n">
        <v>0.269</v>
      </c>
      <c r="G2" t="n">
        <v>0.0146</v>
      </c>
      <c r="H2" t="n">
        <v>319078</v>
      </c>
      <c r="I2" t="n">
        <v>7429</v>
      </c>
      <c r="J2" t="n">
        <v>135</v>
      </c>
      <c r="K2" t="n">
        <v>55</v>
      </c>
    </row>
    <row r="3">
      <c r="A3" t="inlineStr">
        <is>
          <t>plus20</t>
        </is>
      </c>
      <c r="B3" t="n">
        <v>2400</v>
      </c>
      <c r="C3" t="n">
        <v>14.78</v>
      </c>
      <c r="D3" t="n">
        <v>36.22</v>
      </c>
      <c r="E3" t="n">
        <v>3.92</v>
      </c>
      <c r="F3" t="n">
        <v>0.269</v>
      </c>
      <c r="G3" t="n">
        <v>0.0146</v>
      </c>
      <c r="H3" t="n">
        <v>382894</v>
      </c>
      <c r="I3" t="n">
        <v>8914</v>
      </c>
      <c r="J3" t="n">
        <v>162</v>
      </c>
      <c r="K3" t="n">
        <v>66</v>
      </c>
    </row>
    <row r="4">
      <c r="A4" t="inlineStr">
        <is>
          <t>minus20</t>
        </is>
      </c>
      <c r="B4" t="n">
        <v>1600</v>
      </c>
      <c r="C4" t="n">
        <v>14.78</v>
      </c>
      <c r="D4" t="n">
        <v>36.22</v>
      </c>
      <c r="E4" t="n">
        <v>3.92</v>
      </c>
      <c r="F4" t="n">
        <v>0.269</v>
      </c>
      <c r="G4" t="n">
        <v>0.0146</v>
      </c>
      <c r="H4" t="n">
        <v>255263</v>
      </c>
      <c r="I4" t="n">
        <v>5943</v>
      </c>
      <c r="J4" t="n">
        <v>108</v>
      </c>
      <c r="K4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2025-12-15T19:26:46Z</dcterms:created>
  <dcterms:modified xsi:type="dcterms:W3CDTF">2025-12-15T19:26:46Z</dcterms:modified>
</cp:coreProperties>
</file>